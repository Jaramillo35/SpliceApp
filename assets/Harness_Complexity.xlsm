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po.aptiv.com/sites/0404-110/chrysyseng/SE Workflow Documents/SE Reference Files/SE Forms/"/>
    </mc:Choice>
  </mc:AlternateContent>
  <xr:revisionPtr revIDLastSave="28" documentId="8_{FB47F896-79BD-470F-ACAE-D62E94EAFBB8}" xr6:coauthVersionLast="47" xr6:coauthVersionMax="47" xr10:uidLastSave="{9EF61E9F-9CB9-4A68-AD02-34F9853799EF}"/>
  <bookViews>
    <workbookView xWindow="-28920" yWindow="-120" windowWidth="29040" windowHeight="15720" activeTab="1" xr2:uid="{00000000-000D-0000-FFFF-FFFF00000000}"/>
  </bookViews>
  <sheets>
    <sheet name="Complexity" sheetId="1" r:id="rId1"/>
    <sheet name="Harness PN" sheetId="2" r:id="rId2"/>
    <sheet name="Information" sheetId="4" r:id="rId3"/>
  </sheets>
  <functionGroups builtInGroupCount="19"/>
  <definedNames>
    <definedName name="_xlnm._FilterDatabase" localSheetId="1" hidden="1">'Harness PN'!$O$6:$P$8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B3" i="2"/>
  <c r="C3" i="2" s="1"/>
  <c r="A4" i="2"/>
  <c r="B4" i="2"/>
  <c r="C4" i="2" s="1"/>
  <c r="A5" i="2"/>
  <c r="B5" i="2"/>
  <c r="F5" i="2" s="1"/>
  <c r="C5" i="2"/>
  <c r="E5" i="2"/>
  <c r="A6" i="2"/>
  <c r="B6" i="2"/>
  <c r="E6" i="2" s="1"/>
  <c r="A7" i="2"/>
  <c r="B7" i="2"/>
  <c r="C7" i="2" s="1"/>
  <c r="E7" i="2"/>
  <c r="A8" i="2"/>
  <c r="B8" i="2"/>
  <c r="E8" i="2" s="1"/>
  <c r="C8" i="2"/>
  <c r="A9" i="2"/>
  <c r="B9" i="2"/>
  <c r="C9" i="2" s="1"/>
  <c r="A10" i="2"/>
  <c r="B10" i="2"/>
  <c r="C10" i="2" s="1"/>
  <c r="E10" i="2"/>
  <c r="A11" i="2"/>
  <c r="B11" i="2"/>
  <c r="C11" i="2" s="1"/>
  <c r="B2" i="2"/>
  <c r="C2" i="2" s="1"/>
  <c r="E4" i="2" l="1"/>
  <c r="C6" i="2"/>
  <c r="F10" i="2"/>
  <c r="F4" i="2"/>
  <c r="F9" i="2"/>
  <c r="E9" i="2"/>
  <c r="F6" i="2"/>
  <c r="F3" i="2"/>
  <c r="F7" i="2"/>
  <c r="E3" i="2"/>
  <c r="F11" i="2"/>
  <c r="E11" i="2"/>
  <c r="F8" i="2"/>
  <c r="F2" i="2"/>
  <c r="E2" i="2"/>
  <c r="P22" i="2" l="1" a="1"/>
  <c r="P22" i="2" s="1"/>
  <c r="P21" i="2" a="1"/>
  <c r="P21" i="2" s="1"/>
  <c r="P20" i="2" a="1"/>
  <c r="P20" i="2" s="1"/>
  <c r="P19" i="2" a="1"/>
  <c r="P19" i="2" s="1"/>
  <c r="P18" i="2" a="1"/>
  <c r="P18" i="2" s="1"/>
  <c r="P17" i="2" a="1"/>
  <c r="P17" i="2" s="1"/>
  <c r="P16" i="2" a="1"/>
  <c r="P16" i="2" s="1"/>
  <c r="P15" i="2" a="1"/>
  <c r="P15" i="2" s="1"/>
  <c r="M3" i="2" l="1"/>
  <c r="O3" i="2" l="1"/>
  <c r="O2" i="2" l="1"/>
  <c r="O4" i="2" s="1"/>
  <c r="O11" i="2" l="1"/>
  <c r="O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<sst xmlns="http://schemas.openxmlformats.org/spreadsheetml/2006/main" count="106" uniqueCount="91">
  <si>
    <t>Previous PN</t>
  </si>
  <si>
    <t>HarnessPN</t>
  </si>
  <si>
    <t>Rev</t>
  </si>
  <si>
    <t>Concatination
to paste into
DEFE</t>
  </si>
  <si>
    <t>P/N Check</t>
  </si>
  <si>
    <t>Previous P/N</t>
  </si>
  <si>
    <t>New P/N</t>
  </si>
  <si>
    <t>Symbol</t>
  </si>
  <si>
    <t>File:</t>
  </si>
  <si>
    <t>Harness_Complexity</t>
  </si>
  <si>
    <t>Count</t>
  </si>
  <si>
    <t>Item</t>
  </si>
  <si>
    <t>Previous Harness Count</t>
  </si>
  <si>
    <t>Version:</t>
  </si>
  <si>
    <t>New Harness Count</t>
  </si>
  <si>
    <t>Maximum Part Number Count</t>
  </si>
  <si>
    <t>Year:</t>
  </si>
  <si>
    <t>Harness Part Number Check</t>
  </si>
  <si>
    <t>Vehicle:</t>
  </si>
  <si>
    <t>Phase:</t>
  </si>
  <si>
    <t>Previous Part Number Check</t>
  </si>
  <si>
    <t>Harness:</t>
  </si>
  <si>
    <t>ID:</t>
  </si>
  <si>
    <t>Complexity Charactrer Check</t>
  </si>
  <si>
    <t>X&gt;_</t>
  </si>
  <si>
    <t>G&gt;_</t>
  </si>
  <si>
    <t>X&gt;G</t>
  </si>
  <si>
    <t>G&gt;X</t>
  </si>
  <si>
    <t>_&gt;X</t>
  </si>
  <si>
    <t>_&gt;G</t>
  </si>
  <si>
    <t>_</t>
  </si>
  <si>
    <t>&gt;</t>
  </si>
  <si>
    <t>Harness Revision Level</t>
  </si>
  <si>
    <t>Note: Deleted part numbers must be included at the end of the "Previous P/N List!</t>
  </si>
  <si>
    <t>IF(OR(SUMPRODUCT(ISNUMBER(SEARCH("&gt;",Complexity!$B2:$CZ200))+0),SUMPRODUCT(ISNUMBER(SEARCH("_",Complexity!$B2:$CZ200))+0)),"Check for '&gt;'or '_' in Complexity","")</t>
  </si>
  <si>
    <t>INFORMATION</t>
  </si>
  <si>
    <t>Harness Complexity</t>
  </si>
  <si>
    <t>1.5.0</t>
  </si>
  <si>
    <t>Last Update:</t>
  </si>
  <si>
    <t>Release Notes</t>
  </si>
  <si>
    <t>Date</t>
  </si>
  <si>
    <t>Version</t>
  </si>
  <si>
    <t>Notes</t>
  </si>
  <si>
    <t>Size</t>
  </si>
  <si>
    <t>v1.5.0</t>
  </si>
  <si>
    <t>Re-arranged column order in Harness PN tab.  Added specific checks for "&gt;" and "_" characters in the Complexity tab.  Changes designed to allow importing of Harness part numbers into DEFE using Harness Complexity tab.</t>
  </si>
  <si>
    <t>45KB</t>
  </si>
  <si>
    <t>v1.4.9</t>
  </si>
  <si>
    <t>Corrected macro to reference correct cell when creating DEFE Part Number Table. (again)</t>
  </si>
  <si>
    <t>v1.4.8</t>
  </si>
  <si>
    <t>Moved checks up and right to increase visibility.  Added note about deleted p/n.</t>
  </si>
  <si>
    <t>v1.4.7</t>
  </si>
  <si>
    <t>Adjusted macro to remove spaces in sales codes.</t>
  </si>
  <si>
    <t>v1.4.6</t>
  </si>
  <si>
    <t>Added Check for "&gt;" and "_" in complexity.</t>
  </si>
  <si>
    <t>v1.4.5</t>
  </si>
  <si>
    <t>Updated Part Mapping Macro</t>
  </si>
  <si>
    <t>v1.4.4</t>
  </si>
  <si>
    <t>v1.4.3</t>
  </si>
  <si>
    <t>Added macro to support part number mapping</t>
  </si>
  <si>
    <t>v1.4.2</t>
  </si>
  <si>
    <t>Corrected macro to recognize missing current part numbers; adjusted error messages.</t>
  </si>
  <si>
    <t>v1.4.1</t>
  </si>
  <si>
    <t>Corrected macro to reference correct cell when creating DEFE Part Number Table.</t>
  </si>
  <si>
    <t>v1.4.0</t>
  </si>
  <si>
    <t>Automated Harness PN Tab,  Added support for phase-phase complexity compares.</t>
  </si>
  <si>
    <t>44KB</t>
  </si>
  <si>
    <t>v1.3.4</t>
  </si>
  <si>
    <t>Added warning box for Duplicate harness part numbers</t>
  </si>
  <si>
    <t>60KB</t>
  </si>
  <si>
    <t>v1.3.3</t>
  </si>
  <si>
    <t>Added check to look for repeated part numbers (last three numbers)</t>
  </si>
  <si>
    <t>60 KB</t>
  </si>
  <si>
    <t>v1.3.2</t>
  </si>
  <si>
    <t>Updated sort and organization macro.</t>
  </si>
  <si>
    <t>80 KB</t>
  </si>
  <si>
    <t>v1.3.1</t>
  </si>
  <si>
    <t>Fixed Sales Code Usage Macro</t>
  </si>
  <si>
    <t>v1.3.0</t>
  </si>
  <si>
    <t>New Macro to compare Sales Code usage between DEFE and Complexity.</t>
  </si>
  <si>
    <t>v1.2.1</t>
  </si>
  <si>
    <t>Fixed File Name showing up in Save As Window</t>
  </si>
  <si>
    <t>37 KB</t>
  </si>
  <si>
    <t>v1.2.0</t>
  </si>
  <si>
    <t>MADE MACRO
Added user added details for file name structure
Added Information Tab</t>
  </si>
  <si>
    <t>v1.1.0</t>
  </si>
  <si>
    <t>Fixed "Harness PN" Tab equasions to remove all spaces from part numbers</t>
  </si>
  <si>
    <t>22 KB</t>
  </si>
  <si>
    <t>v1.0.0</t>
  </si>
  <si>
    <t>INITIAL RELEASE</t>
  </si>
  <si>
    <t>33 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</si>
</sst>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center" vertical="center"/>
    </xf>
    <xf numFmtId="0" fontId="1" fillId="4" borderId="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6" borderId="24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21" xfId="0" applyBorder="1"/>
    <xf numFmtId="0" fontId="0" fillId="0" borderId="23" xfId="0" applyBorder="1"/>
    <xf numFmtId="0" fontId="5" fillId="0" borderId="20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27" xfId="0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1" fillId="4" borderId="27" xfId="0" applyFont="1" applyFill="1" applyBorder="1" applyAlignment="1">
      <alignment horizontal="left" wrapText="1"/>
    </xf>
    <xf numFmtId="0" fontId="1" fillId="0" borderId="27" xfId="0" applyFont="1" applyBorder="1" applyAlignment="1">
      <alignment horizontal="center"/>
    </xf>
    <xf numFmtId="0" fontId="1" fillId="0" borderId="27" xfId="0" applyFont="1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left" vertical="top"/>
    </xf>
    <xf numFmtId="0" fontId="0" fillId="0" borderId="27" xfId="0" applyBorder="1"/>
    <xf numFmtId="0" fontId="4" fillId="0" borderId="27" xfId="0" applyFont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0" fillId="7" borderId="26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49" fontId="1" fillId="0" borderId="27" xfId="0" applyNumberFormat="1" applyFont="1" applyBorder="1" applyAlignment="1">
      <alignment horizontal="center" vertical="center"/>
    </xf>
    <xf numFmtId="0" fontId="1" fillId="4" borderId="18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49" fontId="0" fillId="0" borderId="27" xfId="0" applyNumberFormat="1" applyBorder="1" applyAlignment="1">
      <alignment horizontal="left" wrapText="1"/>
    </xf>
    <xf numFmtId="49" fontId="0" fillId="0" borderId="1" xfId="0" applyNumberFormat="1" applyBorder="1" applyAlignment="1">
      <alignment horizontal="left" wrapText="1"/>
    </xf>
    <xf numFmtId="14" fontId="0" fillId="0" borderId="7" xfId="0" applyNumberFormat="1" applyBorder="1" applyAlignment="1">
      <alignment horizontal="left" wrapText="1"/>
    </xf>
    <xf numFmtId="14" fontId="0" fillId="0" borderId="8" xfId="0" applyNumberFormat="1" applyBorder="1" applyAlignment="1">
      <alignment horizontal="left" wrapText="1"/>
    </xf>
  </cellXfs>
  <cellStyles count="8">
    <cellStyle name="Normal" xfId="0" builtinId="0"/>
    <cellStyle name="Normal 11 2 2 2" xfId="3" xr:uid="{C08E3651-A07A-420C-8EE3-CC68AA0C0B94}"/>
    <cellStyle name="Normal 13 2 2 2" xfId="1" xr:uid="{D494D91C-8E9D-4ED6-9AF5-D920158232E3}"/>
    <cellStyle name="Normal 14 2" xfId="6" xr:uid="{26186781-6217-484B-86CE-E75F8DA8F245}"/>
    <cellStyle name="Normal 14 2 5" xfId="7" xr:uid="{8A489976-44B0-4671-B4EA-60EF5727D7F3}"/>
    <cellStyle name="Normal 14 5 2" xfId="2" xr:uid="{1CA4963C-ACB2-4DE8-BCFE-31DF13A480EA}"/>
    <cellStyle name="Normal 22" xfId="4" xr:uid="{31392D47-29CE-41E5-A21E-0E0774CCAAD6}"/>
    <cellStyle name="Normal 22 2 2 2 2 2" xfId="5" xr:uid="{29CD9938-DAF1-4152-8633-0674F857108C}"/>
  </cellStyles>
  <dxfs count="12"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15</xdr:row>
          <xdr:rowOff>19050</xdr:rowOff>
        </xdr:from>
        <xdr:to>
          <xdr:col>12</xdr:col>
          <xdr:colOff>2295525</xdr:colOff>
          <xdr:row>17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Complexity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19050</xdr:rowOff>
        </xdr:from>
        <xdr:to>
          <xdr:col>12</xdr:col>
          <xdr:colOff>2295525</xdr:colOff>
          <xdr:row>20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Part Number Mapping 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1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1" max="1" width="14.28515625" customWidth="1"/>
    <col min="2" max="12" width="5.7109375" customWidth="1"/>
  </cols>
  <sheetData>
    <row r="1" spans="1:12" x14ac:dyDescent="0.2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2" spans="1:12" x14ac:dyDescent="0.25">
      <c r="A2" s="45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5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45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45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45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45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45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45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45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45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</sheetData>
  <sortState xmlns:xlrd2="http://schemas.microsoft.com/office/spreadsheetml/2017/richdata2" columnSort="1" ref="B1:L11">
    <sortCondition ref="B1"/>
  </sortState>
  <pageMargins left="0.7" right="0.7" top="0.75" bottom="0.75" header="0.3" footer="0.3"/>
  <headerFooter>
    <oddFooter>&amp;C_x000D_&amp;1#&amp;"Calibri"&amp;11&amp;KFF0000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28"/>
  <sheetViews>
    <sheetView tabSelected="1" workbookViewId="0">
      <selection activeCell="N19" sqref="N18:N19"/>
    </sheetView>
  </sheetViews>
  <sheetFormatPr defaultRowHeight="15" x14ac:dyDescent="0.25"/>
  <cols>
    <col min="1" max="2" width="12.7109375" customWidth="1"/>
    <col min="3" max="3" width="10.7109375" style="1" customWidth="1"/>
    <col min="4" max="4" width="6" customWidth="1"/>
    <col min="5" max="5" width="20.7109375" customWidth="1"/>
    <col min="6" max="6" width="11.28515625" style="13" customWidth="1"/>
    <col min="8" max="8" width="12.85546875" style="24" customWidth="1"/>
    <col min="9" max="9" width="12.7109375" style="24" customWidth="1"/>
    <col min="10" max="10" width="10.7109375" style="1" customWidth="1"/>
    <col min="12" max="12" width="11.7109375" customWidth="1"/>
    <col min="13" max="13" width="30.7109375" customWidth="1"/>
    <col min="15" max="15" width="8.85546875" customWidth="1"/>
    <col min="16" max="16" width="32.42578125" customWidth="1"/>
  </cols>
  <sheetData>
    <row r="1" spans="1:16" ht="15" customHeight="1" x14ac:dyDescent="0.25">
      <c r="A1" s="34" t="s">
        <v>0</v>
      </c>
      <c r="B1" s="34" t="s">
        <v>1</v>
      </c>
      <c r="C1" s="35" t="s">
        <v>2</v>
      </c>
      <c r="D1" s="17"/>
      <c r="E1" s="36" t="s">
        <v>3</v>
      </c>
      <c r="F1" s="36" t="s">
        <v>4</v>
      </c>
      <c r="H1" s="37" t="s">
        <v>5</v>
      </c>
      <c r="I1" s="37" t="s">
        <v>6</v>
      </c>
      <c r="J1" s="37" t="s">
        <v>7</v>
      </c>
      <c r="L1" s="47" t="s">
        <v>8</v>
      </c>
      <c r="M1" s="48" t="s">
        <v>9</v>
      </c>
      <c r="O1" s="30" t="s">
        <v>10</v>
      </c>
      <c r="P1" s="31" t="s">
        <v>11</v>
      </c>
    </row>
    <row r="2" spans="1:16" x14ac:dyDescent="0.25">
      <c r="A2" t="str">
        <f>IF(TRIM($H2)="","",TRIM(SUBSTITUTE($H2,CHAR(160),"")))</f>
        <v/>
      </c>
      <c r="B2" t="str">
        <f>IF(TRIM(Complexity!$A2)&lt;&gt;"",TRIM(SUBSTITUTE(Complexity!$A2,CHAR(160),"")),IF(TRIM($I2)&lt;&gt;"",TRIM(SUBSTITUTE($I2,CHAR(160),"")),""))</f>
        <v/>
      </c>
      <c r="C2" s="1" t="str">
        <f>IF(B2="","",$L$23)</f>
        <v/>
      </c>
      <c r="E2" t="str">
        <f>IF(B2="","",CONCATENATE($B2,",",$J2,",",$C2))</f>
        <v/>
      </c>
      <c r="F2" s="13" t="str">
        <f>IF(B2="","",IF(COUNTIF($B:$B,CONCATENATE("?????",MID(B2,6,3),"??"))&gt;1,"Duplicate","OK"))</f>
        <v/>
      </c>
      <c r="H2" s="46"/>
      <c r="I2" s="46"/>
      <c r="J2" s="42"/>
      <c r="L2" s="47"/>
      <c r="M2" s="48"/>
      <c r="O2" s="18">
        <f>COUNTA(H:H)-1</f>
        <v>0</v>
      </c>
      <c r="P2" s="19" t="s">
        <v>12</v>
      </c>
    </row>
    <row r="3" spans="1:16" x14ac:dyDescent="0.25">
      <c r="A3" t="str">
        <f t="shared" ref="A3:A11" si="0">IF(TRIM($H3)="","",TRIM(SUBSTITUTE($H3,CHAR(160),"")))</f>
        <v/>
      </c>
      <c r="B3" t="str">
        <f>IF(TRIM(Complexity!$A3)&lt;&gt;"",TRIM(SUBSTITUTE(Complexity!$A3,CHAR(160),"")),IF(TRIM($I3)&lt;&gt;"",TRIM(SUBSTITUTE($I3,CHAR(160),"")),""))</f>
        <v/>
      </c>
      <c r="C3" s="1" t="str">
        <f t="shared" ref="C3:C11" si="1">IF(B3="","",$L$23)</f>
        <v/>
      </c>
      <c r="E3" t="str">
        <f t="shared" ref="E3:E11" si="2">IF(B3="","",CONCATENATE($B3,",",$J3,",",$C3))</f>
        <v/>
      </c>
      <c r="F3" s="13" t="str">
        <f t="shared" ref="F3:F11" si="3">IF(B3="","",IF(COUNTIF($B:$B,CONCATENATE("?????",MID(B3,6,3),"??"))&gt;1,"Duplicate","OK"))</f>
        <v/>
      </c>
      <c r="H3" s="46"/>
      <c r="I3" s="46"/>
      <c r="J3" s="42"/>
      <c r="L3" s="47" t="s">
        <v>13</v>
      </c>
      <c r="M3" s="59" t="str">
        <f>Information!C3</f>
        <v>1.5.0</v>
      </c>
      <c r="O3" s="18">
        <f>COUNTA(I:I)-1</f>
        <v>0</v>
      </c>
      <c r="P3" s="19" t="s">
        <v>14</v>
      </c>
    </row>
    <row r="4" spans="1:16" x14ac:dyDescent="0.25">
      <c r="A4" t="str">
        <f t="shared" si="0"/>
        <v/>
      </c>
      <c r="B4" t="str">
        <f>IF(TRIM(Complexity!$A4)&lt;&gt;"",TRIM(SUBSTITUTE(Complexity!$A4,CHAR(160),"")),IF(TRIM($I4)&lt;&gt;"",TRIM(SUBSTITUTE($I4,CHAR(160),"")),""))</f>
        <v/>
      </c>
      <c r="C4" s="1" t="str">
        <f t="shared" si="1"/>
        <v/>
      </c>
      <c r="E4" t="str">
        <f t="shared" si="2"/>
        <v/>
      </c>
      <c r="F4" s="13" t="str">
        <f t="shared" si="3"/>
        <v/>
      </c>
      <c r="H4" s="46"/>
      <c r="I4" s="46"/>
      <c r="J4" s="42"/>
      <c r="L4" s="47"/>
      <c r="M4" s="48"/>
      <c r="O4" s="20">
        <f>MAX(O2:O3)</f>
        <v>0</v>
      </c>
      <c r="P4" s="21" t="s">
        <v>15</v>
      </c>
    </row>
    <row r="5" spans="1:16" x14ac:dyDescent="0.25">
      <c r="A5" t="str">
        <f t="shared" si="0"/>
        <v/>
      </c>
      <c r="B5" t="str">
        <f>IF(TRIM(Complexity!$A5)&lt;&gt;"",TRIM(SUBSTITUTE(Complexity!$A5,CHAR(160),"")),IF(TRIM($I5)&lt;&gt;"",TRIM(SUBSTITUTE($I5,CHAR(160),"")),""))</f>
        <v/>
      </c>
      <c r="C5" s="1" t="str">
        <f t="shared" si="1"/>
        <v/>
      </c>
      <c r="E5" t="str">
        <f t="shared" si="2"/>
        <v/>
      </c>
      <c r="F5" s="13" t="str">
        <f t="shared" si="3"/>
        <v/>
      </c>
      <c r="H5" s="46"/>
      <c r="I5" s="46"/>
      <c r="J5" s="42"/>
      <c r="L5" s="2"/>
    </row>
    <row r="6" spans="1:16" x14ac:dyDescent="0.25">
      <c r="A6" t="str">
        <f t="shared" si="0"/>
        <v/>
      </c>
      <c r="B6" t="str">
        <f>IF(TRIM(Complexity!$A6)&lt;&gt;"",TRIM(SUBSTITUTE(Complexity!$A6,CHAR(160),"")),IF(TRIM($I6)&lt;&gt;"",TRIM(SUBSTITUTE($I6,CHAR(160),"")),""))</f>
        <v/>
      </c>
      <c r="C6" s="1" t="str">
        <f t="shared" si="1"/>
        <v/>
      </c>
      <c r="E6" t="str">
        <f t="shared" si="2"/>
        <v/>
      </c>
      <c r="F6" s="13" t="str">
        <f t="shared" si="3"/>
        <v/>
      </c>
      <c r="H6" s="46"/>
      <c r="I6" s="46"/>
      <c r="J6" s="42"/>
      <c r="L6" s="55" t="s">
        <v>16</v>
      </c>
      <c r="M6" s="56"/>
      <c r="O6" s="49" t="s">
        <v>17</v>
      </c>
      <c r="P6" s="50"/>
    </row>
    <row r="7" spans="1:16" x14ac:dyDescent="0.25">
      <c r="A7" t="str">
        <f t="shared" si="0"/>
        <v/>
      </c>
      <c r="B7" t="str">
        <f>IF(TRIM(Complexity!$A7)&lt;&gt;"",TRIM(SUBSTITUTE(Complexity!$A7,CHAR(160),"")),IF(TRIM($I7)&lt;&gt;"",TRIM(SUBSTITUTE($I7,CHAR(160),"")),""))</f>
        <v/>
      </c>
      <c r="C7" s="1" t="str">
        <f t="shared" si="1"/>
        <v/>
      </c>
      <c r="E7" t="str">
        <f t="shared" si="2"/>
        <v/>
      </c>
      <c r="F7" s="13" t="str">
        <f t="shared" si="3"/>
        <v/>
      </c>
      <c r="H7" s="46"/>
      <c r="I7" s="46"/>
      <c r="J7" s="42"/>
      <c r="L7" s="55"/>
      <c r="M7" s="56"/>
      <c r="O7" s="51" t="str">
        <f>IF(COUNTIF(F:F,"Duplicate")&gt;0,"Check Harness Part Numbers","OK")</f>
        <v>OK</v>
      </c>
      <c r="P7" s="52"/>
    </row>
    <row r="8" spans="1:16" x14ac:dyDescent="0.25">
      <c r="A8" t="str">
        <f t="shared" si="0"/>
        <v/>
      </c>
      <c r="B8" t="str">
        <f>IF(TRIM(Complexity!$A8)&lt;&gt;"",TRIM(SUBSTITUTE(Complexity!$A8,CHAR(160),"")),IF(TRIM($I8)&lt;&gt;"",TRIM(SUBSTITUTE($I8,CHAR(160),"")),""))</f>
        <v/>
      </c>
      <c r="C8" s="1" t="str">
        <f t="shared" si="1"/>
        <v/>
      </c>
      <c r="E8" t="str">
        <f t="shared" si="2"/>
        <v/>
      </c>
      <c r="F8" s="13" t="str">
        <f t="shared" si="3"/>
        <v/>
      </c>
      <c r="H8" s="46"/>
      <c r="I8" s="46"/>
      <c r="J8" s="42"/>
      <c r="L8" s="55" t="s">
        <v>18</v>
      </c>
      <c r="M8" s="56"/>
      <c r="O8" s="53"/>
      <c r="P8" s="54"/>
    </row>
    <row r="9" spans="1:16" x14ac:dyDescent="0.25">
      <c r="A9" t="str">
        <f t="shared" si="0"/>
        <v/>
      </c>
      <c r="B9" t="str">
        <f>IF(TRIM(Complexity!$A9)&lt;&gt;"",TRIM(SUBSTITUTE(Complexity!$A9,CHAR(160),"")),IF(TRIM($I9)&lt;&gt;"",TRIM(SUBSTITUTE($I9,CHAR(160),"")),""))</f>
        <v/>
      </c>
      <c r="C9" s="1" t="str">
        <f t="shared" si="1"/>
        <v/>
      </c>
      <c r="E9" t="str">
        <f t="shared" si="2"/>
        <v/>
      </c>
      <c r="F9" s="13" t="str">
        <f t="shared" si="3"/>
        <v/>
      </c>
      <c r="H9" s="46"/>
      <c r="I9" s="46"/>
      <c r="J9" s="42"/>
      <c r="L9" s="55"/>
      <c r="M9" s="56"/>
    </row>
    <row r="10" spans="1:16" x14ac:dyDescent="0.25">
      <c r="A10" t="str">
        <f t="shared" si="0"/>
        <v/>
      </c>
      <c r="B10" t="str">
        <f>IF(TRIM(Complexity!$A10)&lt;&gt;"",TRIM(SUBSTITUTE(Complexity!$A10,CHAR(160),"")),IF(TRIM($I10)&lt;&gt;"",TRIM(SUBSTITUTE($I10,CHAR(160),"")),""))</f>
        <v/>
      </c>
      <c r="C10" s="1" t="str">
        <f t="shared" si="1"/>
        <v/>
      </c>
      <c r="E10" t="str">
        <f t="shared" si="2"/>
        <v/>
      </c>
      <c r="F10" s="13" t="str">
        <f t="shared" si="3"/>
        <v/>
      </c>
      <c r="H10" s="46"/>
      <c r="I10" s="46"/>
      <c r="J10" s="42"/>
      <c r="L10" s="55" t="s">
        <v>19</v>
      </c>
      <c r="M10" s="56"/>
      <c r="O10" s="49" t="s">
        <v>20</v>
      </c>
      <c r="P10" s="50"/>
    </row>
    <row r="11" spans="1:16" x14ac:dyDescent="0.25">
      <c r="A11" t="str">
        <f t="shared" si="0"/>
        <v/>
      </c>
      <c r="B11" t="str">
        <f>IF(TRIM(Complexity!$A11)&lt;&gt;"",TRIM(SUBSTITUTE(Complexity!$A11,CHAR(160),"")),IF(TRIM($I11)&lt;&gt;"",TRIM(SUBSTITUTE($I11,CHAR(160),"")),""))</f>
        <v/>
      </c>
      <c r="C11" s="1" t="str">
        <f t="shared" si="1"/>
        <v/>
      </c>
      <c r="E11" t="str">
        <f t="shared" si="2"/>
        <v/>
      </c>
      <c r="F11" s="13" t="str">
        <f t="shared" si="3"/>
        <v/>
      </c>
      <c r="H11" s="46"/>
      <c r="I11" s="46"/>
      <c r="J11" s="42"/>
      <c r="L11" s="55"/>
      <c r="M11" s="56"/>
      <c r="O11" s="51" t="e">
        <f>IF(#REF!="","",IF(O3=0,"Check Current Part Number List",IF(O2=0,"Check Previous Part Number List","OK")))</f>
        <v>#REF!</v>
      </c>
      <c r="P11" s="52"/>
    </row>
    <row r="12" spans="1:16" x14ac:dyDescent="0.25">
      <c r="L12" s="55" t="s">
        <v>21</v>
      </c>
      <c r="M12" s="56"/>
      <c r="O12" s="53"/>
      <c r="P12" s="54"/>
    </row>
    <row r="13" spans="1:16" x14ac:dyDescent="0.25">
      <c r="L13" s="55"/>
      <c r="M13" s="56"/>
    </row>
    <row r="14" spans="1:16" x14ac:dyDescent="0.25">
      <c r="L14" s="55" t="s">
        <v>22</v>
      </c>
      <c r="M14" s="56"/>
      <c r="O14" s="60" t="s">
        <v>23</v>
      </c>
      <c r="P14" s="61"/>
    </row>
    <row r="15" spans="1:16" x14ac:dyDescent="0.25">
      <c r="L15" s="55"/>
      <c r="M15" s="56"/>
      <c r="O15" s="28" t="s">
        <v>24</v>
      </c>
      <c r="P15" s="25" t="str" cm="1">
        <f t="array" ref="P15">IF(SUMPRODUCT(ISNUMBER(SEARCH(O15,Complexity!$C2:$BX181))+0),"Check Complexity","")</f>
        <v/>
      </c>
    </row>
    <row r="16" spans="1:16" x14ac:dyDescent="0.25">
      <c r="O16" s="28" t="s">
        <v>25</v>
      </c>
      <c r="P16" s="25" t="str" cm="1">
        <f t="array" ref="P16">IF(SUMPRODUCT(ISNUMBER(SEARCH(O16,Complexity!$C2:$BX182))+0),"Check Complexity","")</f>
        <v/>
      </c>
    </row>
    <row r="17" spans="12:16" x14ac:dyDescent="0.25">
      <c r="O17" s="28" t="s">
        <v>26</v>
      </c>
      <c r="P17" s="26" t="str" cm="1">
        <f t="array" ref="P17">IF(SUMPRODUCT(ISNUMBER(SEARCH(O17,Complexity!$C2:$BX183))+0),"Check Complexity","")</f>
        <v/>
      </c>
    </row>
    <row r="18" spans="12:16" x14ac:dyDescent="0.25">
      <c r="O18" s="28" t="s">
        <v>27</v>
      </c>
      <c r="P18" s="26" t="str" cm="1">
        <f t="array" ref="P18">IF(SUMPRODUCT(ISNUMBER(SEARCH(O18,Complexity!$C3:$BX184))+0),"Check Complexity","")</f>
        <v/>
      </c>
    </row>
    <row r="19" spans="12:16" x14ac:dyDescent="0.25">
      <c r="O19" s="28" t="s">
        <v>28</v>
      </c>
      <c r="P19" s="26" t="str" cm="1">
        <f t="array" ref="P19">IF(SUMPRODUCT(ISNUMBER(SEARCH(O19,Complexity!$C4:$BX185))+0),"Check Complexity","")</f>
        <v/>
      </c>
    </row>
    <row r="20" spans="12:16" x14ac:dyDescent="0.25">
      <c r="O20" s="28" t="s">
        <v>29</v>
      </c>
      <c r="P20" s="26" t="str" cm="1">
        <f t="array" ref="P20">IF(SUMPRODUCT(ISNUMBER(SEARCH(O20,Complexity!$C5:$BX186))+0),"Check Complexity","")</f>
        <v/>
      </c>
    </row>
    <row r="21" spans="12:16" x14ac:dyDescent="0.25">
      <c r="O21" s="28" t="s">
        <v>30</v>
      </c>
      <c r="P21" s="26" t="str" cm="1">
        <f t="array" ref="P21">IF(SUMPRODUCT(ISNUMBER(SEARCH(O21,Complexity!$C6:$BX187))+0),"Check Complexity","")</f>
        <v/>
      </c>
    </row>
    <row r="22" spans="12:16" ht="16.5" customHeight="1" x14ac:dyDescent="0.25">
      <c r="O22" s="29" t="s">
        <v>31</v>
      </c>
      <c r="P22" s="27" t="str" cm="1">
        <f t="array" ref="P22">IF(SUMPRODUCT(ISNUMBER(SEARCH(O22,Complexity!$C7:$BX188))+0),"Check Complexity","")</f>
        <v/>
      </c>
    </row>
    <row r="23" spans="12:16" x14ac:dyDescent="0.25">
      <c r="L23" s="23">
        <v>1</v>
      </c>
      <c r="M23" s="22" t="s">
        <v>32</v>
      </c>
    </row>
    <row r="24" spans="12:16" x14ac:dyDescent="0.25">
      <c r="O24" s="57" t="s">
        <v>33</v>
      </c>
      <c r="P24" s="57"/>
    </row>
    <row r="25" spans="12:16" x14ac:dyDescent="0.25">
      <c r="O25" s="58"/>
      <c r="P25" s="58"/>
    </row>
    <row r="26" spans="12:16" ht="15.75" customHeight="1" x14ac:dyDescent="0.25"/>
    <row r="27" spans="12:16" x14ac:dyDescent="0.25">
      <c r="P27" s="32" t="s">
        <v>34</v>
      </c>
    </row>
    <row r="28" spans="12:16" ht="15" customHeight="1" x14ac:dyDescent="0.25"/>
  </sheetData>
  <mergeCells count="20">
    <mergeCell ref="O24:P25"/>
    <mergeCell ref="O10:P10"/>
    <mergeCell ref="O11:P12"/>
    <mergeCell ref="L3:L4"/>
    <mergeCell ref="M3:M4"/>
    <mergeCell ref="O14:P14"/>
    <mergeCell ref="L14:L15"/>
    <mergeCell ref="M14:M15"/>
    <mergeCell ref="L10:L11"/>
    <mergeCell ref="M10:M11"/>
    <mergeCell ref="L12:L13"/>
    <mergeCell ref="M12:M13"/>
    <mergeCell ref="L1:L2"/>
    <mergeCell ref="M1:M2"/>
    <mergeCell ref="O6:P6"/>
    <mergeCell ref="O7:P8"/>
    <mergeCell ref="L6:L7"/>
    <mergeCell ref="M6:M7"/>
    <mergeCell ref="L8:L9"/>
    <mergeCell ref="M8:M9"/>
  </mergeCells>
  <conditionalFormatting sqref="M6:M15">
    <cfRule type="containsBlanks" dxfId="11" priority="12">
      <formula>LEN(TRIM(M6))=0</formula>
    </cfRule>
  </conditionalFormatting>
  <conditionalFormatting sqref="L23:M23">
    <cfRule type="expression" dxfId="10" priority="11">
      <formula>$F1="Duplicate"</formula>
    </cfRule>
  </conditionalFormatting>
  <conditionalFormatting sqref="O7:P8">
    <cfRule type="cellIs" dxfId="9" priority="9" operator="equal">
      <formula>"Check Harness Part Numbers"</formula>
    </cfRule>
  </conditionalFormatting>
  <conditionalFormatting sqref="J2:J1048576 E1:F1048576 B2:C1048576">
    <cfRule type="expression" dxfId="8" priority="14">
      <formula>$F1="Duplicate"</formula>
    </cfRule>
  </conditionalFormatting>
  <conditionalFormatting sqref="B1:C1 J1">
    <cfRule type="expression" dxfId="7" priority="15">
      <formula>#REF!="Duplicate"</formula>
    </cfRule>
  </conditionalFormatting>
  <conditionalFormatting sqref="A1">
    <cfRule type="expression" dxfId="6" priority="8">
      <formula>#REF!="Duplicate"</formula>
    </cfRule>
  </conditionalFormatting>
  <conditionalFormatting sqref="H1:J1">
    <cfRule type="expression" dxfId="5" priority="7">
      <formula>$F1="Duplicate"</formula>
    </cfRule>
  </conditionalFormatting>
  <conditionalFormatting sqref="O11:P12">
    <cfRule type="cellIs" dxfId="4" priority="3" operator="equal">
      <formula>"OK"</formula>
    </cfRule>
    <cfRule type="cellIs" dxfId="3" priority="4" operator="equal">
      <formula>"Check Previous Part Number List"</formula>
    </cfRule>
    <cfRule type="cellIs" dxfId="2" priority="5" operator="equal">
      <formula>"Check Current Part Number List"</formula>
    </cfRule>
  </conditionalFormatting>
  <conditionalFormatting sqref="P15:P22">
    <cfRule type="containsText" dxfId="1" priority="1" operator="containsText" text="Check">
      <formula>NOT(ISERROR(SEARCH("Check",P15)))</formula>
    </cfRule>
  </conditionalFormatting>
  <conditionalFormatting sqref="O1:P1">
    <cfRule type="expression" dxfId="0" priority="27">
      <formula>#REF!="Duplicate"</formula>
    </cfRule>
  </conditionalFormatting>
  <pageMargins left="0.7" right="0.7" top="0.75" bottom="0.75" header="0.3" footer="0.3"/>
  <pageSetup orientation="portrait" r:id="rId1"/>
  <headerFooter>
    <oddFooter>&amp;C_x000D_&amp;1#&amp;"Calibri"&amp;11&amp;KFF0000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_Complexity">
                <anchor moveWithCells="1" sizeWithCells="1">
                  <from>
                    <xdr:col>11</xdr:col>
                    <xdr:colOff>0</xdr:colOff>
                    <xdr:row>15</xdr:row>
                    <xdr:rowOff>19050</xdr:rowOff>
                  </from>
                  <to>
                    <xdr:col>12</xdr:col>
                    <xdr:colOff>2295525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art_Mapping">
                <anchor moveWithCells="1" sizeWithCells="1">
                  <from>
                    <xdr:col>11</xdr:col>
                    <xdr:colOff>0</xdr:colOff>
                    <xdr:row>18</xdr:row>
                    <xdr:rowOff>19050</xdr:rowOff>
                  </from>
                  <to>
                    <xdr:col>12</xdr:col>
                    <xdr:colOff>2295525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>
      <selection activeCell="C36" sqref="C36"/>
    </sheetView>
  </sheetViews>
  <sheetFormatPr defaultRowHeight="15" x14ac:dyDescent="0.25"/>
  <cols>
    <col min="1" max="1" width="10.7109375" bestFit="1" customWidth="1"/>
    <col min="3" max="3" width="77.85546875" customWidth="1"/>
  </cols>
  <sheetData>
    <row r="1" spans="1:4" ht="19.5" thickBot="1" x14ac:dyDescent="0.3">
      <c r="A1" s="71" t="s">
        <v>35</v>
      </c>
      <c r="B1" s="72"/>
      <c r="C1" s="72"/>
      <c r="D1" s="73"/>
    </row>
    <row r="2" spans="1:4" x14ac:dyDescent="0.25">
      <c r="A2" s="67" t="s">
        <v>8</v>
      </c>
      <c r="B2" s="68"/>
      <c r="C2" s="74" t="s">
        <v>36</v>
      </c>
      <c r="D2" s="75"/>
    </row>
    <row r="3" spans="1:4" x14ac:dyDescent="0.25">
      <c r="A3" s="65" t="s">
        <v>13</v>
      </c>
      <c r="B3" s="66"/>
      <c r="C3" s="76" t="s">
        <v>37</v>
      </c>
      <c r="D3" s="77"/>
    </row>
    <row r="4" spans="1:4" ht="15.75" thickBot="1" x14ac:dyDescent="0.3">
      <c r="A4" s="69" t="s">
        <v>38</v>
      </c>
      <c r="B4" s="70"/>
      <c r="C4" s="78">
        <v>44400</v>
      </c>
      <c r="D4" s="79"/>
    </row>
    <row r="6" spans="1:4" ht="15.75" thickBot="1" x14ac:dyDescent="0.3"/>
    <row r="7" spans="1:4" ht="18.75" x14ac:dyDescent="0.3">
      <c r="A7" s="62" t="s">
        <v>39</v>
      </c>
      <c r="B7" s="63"/>
      <c r="C7" s="63"/>
      <c r="D7" s="64"/>
    </row>
    <row r="8" spans="1:4" x14ac:dyDescent="0.25">
      <c r="A8" s="9" t="s">
        <v>40</v>
      </c>
      <c r="B8" s="34" t="s">
        <v>41</v>
      </c>
      <c r="C8" s="38" t="s">
        <v>42</v>
      </c>
      <c r="D8" s="10" t="s">
        <v>43</v>
      </c>
    </row>
    <row r="9" spans="1:4" x14ac:dyDescent="0.25">
      <c r="A9" s="15"/>
      <c r="B9" s="39"/>
      <c r="C9" s="40"/>
      <c r="D9" s="14"/>
    </row>
    <row r="10" spans="1:4" ht="45" x14ac:dyDescent="0.25">
      <c r="A10" s="16">
        <v>44400</v>
      </c>
      <c r="B10" s="39" t="s">
        <v>44</v>
      </c>
      <c r="C10" s="40" t="s">
        <v>45</v>
      </c>
      <c r="D10" s="14" t="s">
        <v>46</v>
      </c>
    </row>
    <row r="11" spans="1:4" ht="30" x14ac:dyDescent="0.25">
      <c r="A11" s="11">
        <v>44341</v>
      </c>
      <c r="B11" s="33" t="s">
        <v>47</v>
      </c>
      <c r="C11" s="41" t="s">
        <v>48</v>
      </c>
      <c r="D11" s="12" t="s">
        <v>46</v>
      </c>
    </row>
    <row r="12" spans="1:4" x14ac:dyDescent="0.25">
      <c r="A12" s="11">
        <v>44237</v>
      </c>
      <c r="B12" s="33" t="s">
        <v>49</v>
      </c>
      <c r="C12" s="41" t="s">
        <v>50</v>
      </c>
      <c r="D12" s="12" t="s">
        <v>46</v>
      </c>
    </row>
    <row r="13" spans="1:4" x14ac:dyDescent="0.25">
      <c r="A13" s="11">
        <v>44217</v>
      </c>
      <c r="B13" s="33" t="s">
        <v>51</v>
      </c>
      <c r="C13" s="41" t="s">
        <v>52</v>
      </c>
      <c r="D13" s="12" t="s">
        <v>46</v>
      </c>
    </row>
    <row r="14" spans="1:4" x14ac:dyDescent="0.25">
      <c r="A14" s="11">
        <v>44138</v>
      </c>
      <c r="B14" s="33" t="s">
        <v>53</v>
      </c>
      <c r="C14" s="41" t="s">
        <v>54</v>
      </c>
      <c r="D14" s="12" t="s">
        <v>46</v>
      </c>
    </row>
    <row r="15" spans="1:4" x14ac:dyDescent="0.25">
      <c r="A15" s="11">
        <v>44132</v>
      </c>
      <c r="B15" s="33" t="s">
        <v>55</v>
      </c>
      <c r="C15" s="41" t="s">
        <v>56</v>
      </c>
      <c r="D15" s="12" t="s">
        <v>46</v>
      </c>
    </row>
    <row r="16" spans="1:4" x14ac:dyDescent="0.25">
      <c r="A16" s="11">
        <v>44132</v>
      </c>
      <c r="B16" s="33" t="s">
        <v>57</v>
      </c>
      <c r="C16" s="41" t="s">
        <v>56</v>
      </c>
      <c r="D16" s="12" t="s">
        <v>46</v>
      </c>
    </row>
    <row r="17" spans="1:4" x14ac:dyDescent="0.25">
      <c r="A17" s="11">
        <v>44130</v>
      </c>
      <c r="B17" s="33" t="s">
        <v>58</v>
      </c>
      <c r="C17" s="41" t="s">
        <v>59</v>
      </c>
      <c r="D17" s="12" t="s">
        <v>46</v>
      </c>
    </row>
    <row r="18" spans="1:4" ht="15" customHeight="1" x14ac:dyDescent="0.25">
      <c r="A18" s="11">
        <v>44050</v>
      </c>
      <c r="B18" s="33" t="s">
        <v>60</v>
      </c>
      <c r="C18" s="41" t="s">
        <v>61</v>
      </c>
      <c r="D18" s="12" t="s">
        <v>46</v>
      </c>
    </row>
    <row r="19" spans="1:4" x14ac:dyDescent="0.25">
      <c r="A19" s="11">
        <v>44035</v>
      </c>
      <c r="B19" s="33" t="s">
        <v>62</v>
      </c>
      <c r="C19" s="41" t="s">
        <v>63</v>
      </c>
      <c r="D19" s="12" t="s">
        <v>46</v>
      </c>
    </row>
    <row r="20" spans="1:4" x14ac:dyDescent="0.25">
      <c r="A20" s="11">
        <v>44035</v>
      </c>
      <c r="B20" s="33" t="s">
        <v>64</v>
      </c>
      <c r="C20" s="41" t="s">
        <v>65</v>
      </c>
      <c r="D20" s="12" t="s">
        <v>66</v>
      </c>
    </row>
    <row r="21" spans="1:4" x14ac:dyDescent="0.25">
      <c r="A21" s="11">
        <v>43720</v>
      </c>
      <c r="B21" s="33" t="s">
        <v>67</v>
      </c>
      <c r="C21" s="41" t="s">
        <v>68</v>
      </c>
      <c r="D21" s="12" t="s">
        <v>69</v>
      </c>
    </row>
    <row r="22" spans="1:4" x14ac:dyDescent="0.25">
      <c r="A22" s="11">
        <v>43432</v>
      </c>
      <c r="B22" s="33" t="s">
        <v>70</v>
      </c>
      <c r="C22" s="41" t="s">
        <v>71</v>
      </c>
      <c r="D22" s="12" t="s">
        <v>72</v>
      </c>
    </row>
    <row r="23" spans="1:4" x14ac:dyDescent="0.25">
      <c r="A23" s="11">
        <v>43298</v>
      </c>
      <c r="B23" s="33" t="s">
        <v>73</v>
      </c>
      <c r="C23" s="41" t="s">
        <v>74</v>
      </c>
      <c r="D23" s="12" t="s">
        <v>75</v>
      </c>
    </row>
    <row r="24" spans="1:4" x14ac:dyDescent="0.25">
      <c r="A24" s="11">
        <v>43045</v>
      </c>
      <c r="B24" s="33" t="s">
        <v>76</v>
      </c>
      <c r="C24" s="41" t="s">
        <v>77</v>
      </c>
      <c r="D24" s="12" t="s">
        <v>75</v>
      </c>
    </row>
    <row r="25" spans="1:4" x14ac:dyDescent="0.25">
      <c r="A25" s="11">
        <v>43032</v>
      </c>
      <c r="B25" s="33" t="s">
        <v>78</v>
      </c>
      <c r="C25" s="41" t="s">
        <v>79</v>
      </c>
      <c r="D25" s="12" t="s">
        <v>75</v>
      </c>
    </row>
    <row r="26" spans="1:4" x14ac:dyDescent="0.25">
      <c r="A26" s="11">
        <v>42942</v>
      </c>
      <c r="B26" s="33" t="s">
        <v>80</v>
      </c>
      <c r="C26" s="41" t="s">
        <v>81</v>
      </c>
      <c r="D26" s="12" t="s">
        <v>82</v>
      </c>
    </row>
    <row r="27" spans="1:4" ht="45" x14ac:dyDescent="0.25">
      <c r="A27" s="3">
        <v>42913</v>
      </c>
      <c r="B27" s="42" t="s">
        <v>83</v>
      </c>
      <c r="C27" s="43" t="s">
        <v>84</v>
      </c>
      <c r="D27" s="4" t="s">
        <v>82</v>
      </c>
    </row>
    <row r="28" spans="1:4" x14ac:dyDescent="0.25">
      <c r="A28" s="3">
        <v>42817</v>
      </c>
      <c r="B28" s="42" t="s">
        <v>85</v>
      </c>
      <c r="C28" s="44" t="s">
        <v>86</v>
      </c>
      <c r="D28" s="4" t="s">
        <v>87</v>
      </c>
    </row>
    <row r="29" spans="1:4" ht="15.75" thickBot="1" x14ac:dyDescent="0.3">
      <c r="A29" s="5">
        <v>42689</v>
      </c>
      <c r="B29" s="6" t="s">
        <v>88</v>
      </c>
      <c r="C29" s="7" t="s">
        <v>89</v>
      </c>
      <c r="D29" s="8" t="s">
        <v>90</v>
      </c>
    </row>
  </sheetData>
  <mergeCells count="8">
    <mergeCell ref="A7:D7"/>
    <mergeCell ref="A3:B3"/>
    <mergeCell ref="A2:B2"/>
    <mergeCell ref="A4:B4"/>
    <mergeCell ref="A1:D1"/>
    <mergeCell ref="C2:D2"/>
    <mergeCell ref="C3:D3"/>
    <mergeCell ref="C4:D4"/>
  </mergeCells>
  <pageMargins left="0.7" right="0.7" top="0.75" bottom="0.75" header="0.3" footer="0.3"/>
  <headerFooter>
    <oddFooter>&amp;C_x000D_&amp;1#&amp;"Calibri"&amp;11&amp;KFF0000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36092b-8ec2-40bd-b469-d1fe4f1e7785" xsi:nil="true"/>
    <ka0759a5942f41c695b775aef8208f3e xmlns="0c36092b-8ec2-40bd-b469-d1fe4f1e7785">
      <Terms xmlns="http://schemas.microsoft.com/office/infopath/2007/PartnerControls"/>
    </ka0759a5942f41c695b775aef8208f3e>
    <le32960acc2343b2a783ebfbeb256c3d xmlns="0c36092b-8ec2-40bd-b469-d1fe4f1e7785">
      <Terms xmlns="http://schemas.microsoft.com/office/infopath/2007/PartnerControls"/>
    </le32960acc2343b2a783ebfbeb256c3d>
    <fddf08f74f1e4eb0b4a866c10db37afa xmlns="0c36092b-8ec2-40bd-b469-d1fe4f1e7785">
      <Terms xmlns="http://schemas.microsoft.com/office/infopath/2007/PartnerControls"/>
    </fddf08f74f1e4eb0b4a866c10db37afa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557129FB8EEC41BE911BE5C5CB432F" ma:contentTypeVersion="20" ma:contentTypeDescription="Create a new document." ma:contentTypeScope="" ma:versionID="69b624be85af6ee509aee6fdc7c5a283">
  <xsd:schema xmlns:xsd="http://www.w3.org/2001/XMLSchema" xmlns:xs="http://www.w3.org/2001/XMLSchema" xmlns:p="http://schemas.microsoft.com/office/2006/metadata/properties" xmlns:ns2="0c36092b-8ec2-40bd-b469-d1fe4f1e7785" xmlns:ns3="ba153537-f248-4f49-b7d2-53fa5f5d3791" xmlns:ns4="9977bc19-b68d-4128-ade2-1592f41349cc" targetNamespace="http://schemas.microsoft.com/office/2006/metadata/properties" ma:root="true" ma:fieldsID="17f902bd608ca9c90ac2f9bb9a4aef5c" ns2:_="" ns3:_="" ns4:_="">
    <xsd:import namespace="0c36092b-8ec2-40bd-b469-d1fe4f1e7785"/>
    <xsd:import namespace="ba153537-f248-4f49-b7d2-53fa5f5d3791"/>
    <xsd:import namespace="9977bc19-b68d-4128-ade2-1592f41349cc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fddf08f74f1e4eb0b4a866c10db37afa" minOccurs="0"/>
                <xsd:element ref="ns2:ka0759a5942f41c695b775aef8208f3e" minOccurs="0"/>
                <xsd:element ref="ns2:le32960acc2343b2a783ebfbeb256c3d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36092b-8ec2-40bd-b469-d1fe4f1e7785" elementFormDefault="qualified">
    <xsd:import namespace="http://schemas.microsoft.com/office/2006/documentManagement/types"/>
    <xsd:import namespace="http://schemas.microsoft.com/office/infopath/2007/PartnerControls"/>
    <xsd:element name="TaxCatchAll" ma:index="4" nillable="true" ma:displayName="Taxonomy Catch All Column" ma:hidden="true" ma:list="{14251c00-bb55-46b0-b1a4-ddc1d56ad5c7}" ma:internalName="TaxCatchAll" ma:showField="CatchAllData" ma:web="c308d7af-8d34-4105-8a9f-128cf31d99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5" nillable="true" ma:displayName="Taxonomy Catch All Column1" ma:hidden="true" ma:list="{14251c00-bb55-46b0-b1a4-ddc1d56ad5c7}" ma:internalName="TaxCatchAllLabel" ma:readOnly="true" ma:showField="CatchAllDataLabel" ma:web="c308d7af-8d34-4105-8a9f-128cf31d99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ddf08f74f1e4eb0b4a866c10db37afa" ma:index="13" nillable="true" ma:taxonomy="true" ma:internalName="fddf08f74f1e4eb0b4a866c10db37afa" ma:taxonomyFieldName="emm_Division" ma:displayName="emm_Division" ma:readOnly="false" ma:fieldId="{fddf08f7-4f1e-4eb0-b4a8-66c10db37afa}" ma:sspId="9f8ee6ba-22ae-4b18-a96b-b6990d3e2b67" ma:termSetId="5dde4a48-55d5-4c0a-9779-582059f53b1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a0759a5942f41c695b775aef8208f3e" ma:index="14" nillable="true" ma:taxonomy="true" ma:internalName="ka0759a5942f41c695b775aef8208f3e" ma:taxonomyFieldName="emm_Function" ma:displayName="emm_Function" ma:readOnly="false" ma:fieldId="{4a0759a5-942f-41c6-95b7-75aef8208f3e}" ma:sspId="9f8ee6ba-22ae-4b18-a96b-b6990d3e2b67" ma:termSetId="2cdd7b0f-fc41-4bc0-b507-1083be529d1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e32960acc2343b2a783ebfbeb256c3d" ma:index="15" nillable="true" ma:taxonomy="true" ma:internalName="le32960acc2343b2a783ebfbeb256c3d" ma:taxonomyFieldName="emm_Language" ma:displayName="emm_Language" ma:readOnly="false" ma:fieldId="{5e32960a-cc23-43b2-a783-ebfbeb256c3d}" ma:sspId="9f8ee6ba-22ae-4b18-a96b-b6990d3e2b67" ma:termSetId="628d4a0e-43e1-471b-bfbd-4dccf339dc9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153537-f248-4f49-b7d2-53fa5f5d3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77bc19-b68d-4128-ade2-1592f41349cc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9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9f8ee6ba-22ae-4b18-a96b-b6990d3e2b67" ContentTypeId="0x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A4E0E9-C93D-45B1-AD40-618003CD5B17}">
  <ds:schemaRefs>
    <ds:schemaRef ds:uri="0c36092b-8ec2-40bd-b469-d1fe4f1e7785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977bc19-b68d-4128-ade2-1592f41349cc"/>
    <ds:schemaRef ds:uri="ba153537-f248-4f49-b7d2-53fa5f5d379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1361D22-BBB9-4A49-A9EA-924C128F1F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36092b-8ec2-40bd-b469-d1fe4f1e7785"/>
    <ds:schemaRef ds:uri="ba153537-f248-4f49-b7d2-53fa5f5d3791"/>
    <ds:schemaRef ds:uri="9977bc19-b68d-4128-ade2-1592f41349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FDDFCA-4E6B-4F5B-9F12-701AF69D9F6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3D7BC75F-36E4-4197-B20E-D42DCCCB55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Complexity</vt:lpstr>
      <vt:lpstr>Harness PN</vt:lpstr>
      <vt:lpstr>Information</vt:lpstr>
    </vt:vector>
  </TitlesOfParts>
  <Manager/>
  <Company>Delphi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S. Walter</dc:creator>
  <cp:keywords/>
  <dc:description/>
  <cp:lastModifiedBy>Finnigan, Jeffrey</cp:lastModifiedBy>
  <cp:revision/>
  <dcterms:created xsi:type="dcterms:W3CDTF">2016-11-15T20:23:13Z</dcterms:created>
  <dcterms:modified xsi:type="dcterms:W3CDTF">2025-11-05T20:07:41Z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m_Function">
    <vt:lpwstr/>
  </property>
  <property fmtid="{D5CDD505-2E9C-101B-9397-08002B2CF9AE}" pid="3" name="emm_Division">
    <vt:lpwstr/>
  </property>
  <property fmtid="{D5CDD505-2E9C-101B-9397-08002B2CF9AE}" pid="4" name="ContentTypeId">
    <vt:lpwstr>0x01010027557129FB8EEC41BE911BE5C5CB432F</vt:lpwstr>
  </property>
  <property fmtid="{D5CDD505-2E9C-101B-9397-08002B2CF9AE}" pid="5" name="emm_Language">
    <vt:lpwstr/>
  </property>
  <property fmtid="{D5CDD505-2E9C-101B-9397-08002B2CF9AE}" pid="6" name="Order">
    <vt:r8>57700</vt:r8>
  </property>
  <property fmtid="{D5CDD505-2E9C-101B-9397-08002B2CF9AE}" pid="7" name="MSIP_Label_e545d81b-0f42-495e-8347-551223c9dd3e_Enabled">
    <vt:lpwstr>true</vt:lpwstr>
  </property>
  <property fmtid="{D5CDD505-2E9C-101B-9397-08002B2CF9AE}" pid="8" name="MSIP_Label_e545d81b-0f42-495e-8347-551223c9dd3e_SetDate">
    <vt:lpwstr>2025-03-03T20:45:03Z</vt:lpwstr>
  </property>
  <property fmtid="{D5CDD505-2E9C-101B-9397-08002B2CF9AE}" pid="9" name="MSIP_Label_e545d81b-0f42-495e-8347-551223c9dd3e_Method">
    <vt:lpwstr>Privileged</vt:lpwstr>
  </property>
  <property fmtid="{D5CDD505-2E9C-101B-9397-08002B2CF9AE}" pid="10" name="MSIP_Label_e545d81b-0f42-495e-8347-551223c9dd3e_Name">
    <vt:lpwstr>Internal</vt:lpwstr>
  </property>
  <property fmtid="{D5CDD505-2E9C-101B-9397-08002B2CF9AE}" pid="11" name="MSIP_Label_e545d81b-0f42-495e-8347-551223c9dd3e_SiteId">
    <vt:lpwstr>6b1311e5-123f-49db-acdf-8847c2d00bed</vt:lpwstr>
  </property>
  <property fmtid="{D5CDD505-2E9C-101B-9397-08002B2CF9AE}" pid="12" name="MSIP_Label_e545d81b-0f42-495e-8347-551223c9dd3e_ActionId">
    <vt:lpwstr>3b30eef3-4f01-4bde-9f0f-1c7459317df6</vt:lpwstr>
  </property>
  <property fmtid="{D5CDD505-2E9C-101B-9397-08002B2CF9AE}" pid="13" name="MSIP_Label_e545d81b-0f42-495e-8347-551223c9dd3e_ContentBits">
    <vt:lpwstr>2</vt:lpwstr>
  </property>
</Properties>
</file>